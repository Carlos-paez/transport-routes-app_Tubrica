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paez\Downloads\"/>
    </mc:Choice>
  </mc:AlternateContent>
  <xr:revisionPtr revIDLastSave="0" documentId="13_ncr:1_{5E588F88-CBEC-4C70-B5CE-7CA50090AE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5" l="1"/>
</calcChain>
</file>

<file path=xl/sharedStrings.xml><?xml version="1.0" encoding="utf-8"?>
<sst xmlns="http://schemas.openxmlformats.org/spreadsheetml/2006/main" count="97" uniqueCount="56">
  <si>
    <t>RUTA</t>
  </si>
  <si>
    <t>TURNO</t>
  </si>
  <si>
    <t>CABUDARE A</t>
  </si>
  <si>
    <t>F</t>
  </si>
  <si>
    <t>CABUDARE B</t>
  </si>
  <si>
    <t>ESTE 1</t>
  </si>
  <si>
    <t>ESTE 2</t>
  </si>
  <si>
    <t>NORTE</t>
  </si>
  <si>
    <t>OESTE</t>
  </si>
  <si>
    <t>PAVIA</t>
  </si>
  <si>
    <t>RUEZGA Y PARROQUIA UNION</t>
  </si>
  <si>
    <t>RESUMEN DE RUTAS</t>
  </si>
  <si>
    <t xml:space="preserve">PERSONAL </t>
  </si>
  <si>
    <t>PUESTOS</t>
  </si>
  <si>
    <t>ADMINISTRATIVO / PLANTA BARQUISIMETO</t>
  </si>
  <si>
    <t>MANZANO- CENTRO</t>
  </si>
  <si>
    <t xml:space="preserve">SUR OESTE </t>
  </si>
  <si>
    <t xml:space="preserve">FE Y ALEGRIA </t>
  </si>
  <si>
    <t>PERSONAS</t>
  </si>
  <si>
    <t xml:space="preserve">ROTATIVO PLANTA BARQUISIMETO </t>
  </si>
  <si>
    <t>CABUDARE</t>
  </si>
  <si>
    <t xml:space="preserve">ESTE - CENTRO </t>
  </si>
  <si>
    <t xml:space="preserve">Leyenda: - Turno F: 8:00 AM A 5:00 PM
</t>
  </si>
  <si>
    <t>RECORRIDO</t>
  </si>
  <si>
    <t>Leyenda:   Turno A: 6:00 AM A 2:00PM  -Turno B: 2:00 PM A 10:00 PM-Turno C: 10:00 PM A 6:00 AM</t>
  </si>
  <si>
    <t>UNIDAD</t>
  </si>
  <si>
    <t>TOYOTA HIACE</t>
  </si>
  <si>
    <t>TOYOTA PREVIA</t>
  </si>
  <si>
    <t>YUTONG</t>
  </si>
  <si>
    <t>ENCAVA</t>
  </si>
  <si>
    <t>SEDAN</t>
  </si>
  <si>
    <t>MERCEDES SPRINTER</t>
  </si>
  <si>
    <t>Nota: El total personal corresponde por zona. La asignación efectiva se realiza semanalmente, distribuyéndose según la programación de turnos de la planta.</t>
  </si>
  <si>
    <t>TOTAL DE TRABAJADORES:</t>
  </si>
  <si>
    <t xml:space="preserve"> INICIO: YUCATAN - TAMACA - SABANA GRANDE - ENTRADA A CARORITA - RETORNO EN URBANIZACION CARORITA 2 - SALIDA A INTERCOMUNAL DUACA BARQUISIMETO -ENTRADA A LAS VERITAS HASTA VILLA CANTEVISTA -RETORNO A INTERCOMUNAL DUACA BARQUISIMETO - CIRCUNVALACION - ENTRADA MACIAS MUJICA-ENTRADA ZONA INDUSTRIAL II -LLEGADA A TUBRICA.</t>
  </si>
  <si>
    <t>INICIO: PARADA LOMA ALTA - REDOMA AGUA VIVA- FERMIN TORO- CHUCHO BRICEÑO- CABUDARE CENTRO- REGISTRO- AV. EL PLACER- LA MENDERA- AV. TARABANA- RIBEREÑA- LLEGADA A TUBRICA.</t>
  </si>
  <si>
    <t>INICIO: EL RECREO- EL TRIGAL- ALMARIERA- ATAPAIMA- PIEDAD NORTE- LA CAMPIÑA- AV. INTERCOMUNAL- LA MORA- AV. INTERCOMUNAL- ENTRADA DE CABUDARA FRENTE A POLLO SABROSO -  EL PALMAR- LLEGADA A TUBRICA.</t>
  </si>
  <si>
    <t>INICIO: URB LA MORA- SECTOR LA MORA, URB. PIEDRA AZUL- CALLE LOS APAMATES-  LLEGADA A TUBRICA.</t>
  </si>
  <si>
    <t xml:space="preserve"> INICIO: PLAZA DEL CERCADO- BRISAS DEL ESTE- EL UJANO- LOS LEONES- FLOR DE VENEZUELA- DAKA- AVENIDA MORAN - HOSPITAL- PATE PALO-PUENTE SAN JACINTO- EL JEBE- LLEGADA A TUBRICA.</t>
  </si>
  <si>
    <t xml:space="preserve"> INICIO: AVENIDA LIBERTADOR CON 53 - CALLE 52 ENTRE CARRERAS 25 Y 26- CARRERA 22 A CASA NRO 55-44 URB SANTA EDUVIGES- CENTRO METROPOLITANO JAVIER- CARRERA 14 ENTRE 56 Y 57- ROTARIA- METROPOLIS- AV LA SALLE- LLEGADA A TUBRICA.</t>
  </si>
  <si>
    <t xml:space="preserve"> INICIO: PUENTE MACUTO- AV. VARGAS CON CARRERA 18- CARRERA 18 CON CALLE 24-  CARRERA 18 CON CALLE 25- CARRERA 18 CON CALLE 28-  CARRERA 18 CON CALLE 35-  CARRERA 18 CON CALLE 54- LLEGADA A TUBRICA.</t>
  </si>
  <si>
    <t xml:space="preserve"> INICIO: CERRO MARA- LA Y DE LA APOSTOLEÑA- RUTA 13- RIO LINARE- EL CARIBE CERCA DE LA HIELERA- NUEVA PAZ- EL TOSTADO- VILLA PRODUCTIVA- VALLE DORADO- LLEGADA A TUBRICA.</t>
  </si>
  <si>
    <t xml:space="preserve"> INICIO: FE Y ALEGRIA - ANA SOTO- ALTOS DE PAVIA- CIRCUNVALACION- LLEGADA A TUBRICA.</t>
  </si>
  <si>
    <t xml:space="preserve"> INICIO: GIMNASIO LOS HORCONES- CARUCIEÑA- JOSE FELIX RIVAS- LOS CERRAJONES- 5 DE JULIO- RUIZ PINEDA- EL CRISTAL- LUIS HURTADO- PLAYA SANTA ISABEL- LLEGADA A TUBRICA.</t>
  </si>
  <si>
    <t xml:space="preserve"> INICIO: ETI LARA- COLEGIO FE Y ALEGRIA- LLEGADA A TUBRICA.</t>
  </si>
  <si>
    <t>INICIO: TRIGAL - URBANIZACIÓN TIERRA DEL SOL – PLAZA BOLÍVAR DE CABUDARE – AVENIDA PRINCIPAL CON CHUCHO BRICEÑO – AVENIDA PRINCIPAL DE AGUA VIVA SECTOR LA ALDEANA – TUBRICA</t>
  </si>
  <si>
    <t>INICIO: CERCADO- URBANIZACION RIO LAMA -  TRINITARIAS- VARGAS CON 17- AV VARGAS CON ILUSTRES  AV. LIBERTADOR  CON LA BOTELLA- AV LIBERTADOR CON CALLE 38- CALLE 48 CON PEDRO LEON TORRES- CC SOTAVENTO-  CC METROPOLIS - SEGURO - AV LAS INDUSTRIAS  FRENTE A LA DUANA- TUBRICA</t>
  </si>
  <si>
    <t xml:space="preserve"> INICIO: ALI PRIMERA- YUCATAN- INTERCOMUNAL VIA DUACA- CARORITA- EL CUJI- CIRCUNVALACION- TUBRICA</t>
  </si>
  <si>
    <t>INICIO: CERRO MARA- LA Y DE LA APOSTOLEÑA- RUTA 13- RIO LINARE- EL CARIBE CERCA DE LA HIELERA- NUEVA PAZ- EL TOSTADO- VILLA PRODUCTIVA- VALLE DORADO- TUBRICA</t>
  </si>
  <si>
    <t>INICIO:  RUEZGA SECTOR 4- RUEZGA SECTOR 7- SANTOS LUZARDO- BARRIO EL CARMEN -  BARRIO UNION- NUEVO BARRIO - LA PEÑA- LA PASTORA - TUBRICA</t>
  </si>
  <si>
    <t>INICIO:  GIMNASIO LOS HORCONES- CARUCIEÑA- JOSE FELIX RIVAS- LOS CERRAJONES- 5 DE JULIO- RUIZ PINEDA- EL CRISTAL- LUIS HURTADO- PLAYA SANTA ISABEL- TUBRICA</t>
  </si>
  <si>
    <t xml:space="preserve"> INICIO: CARRERA 6 CON CALLE 5- BARRIO LINDO- SANTO LUZARDO- LOS LUISES- EL CARMEN- DELICIA- LA VEGA- NUEVO BARRIO- LOS CREPÚSCULOS-LLEGADA A TUBRICA.</t>
  </si>
  <si>
    <t>A,B,C</t>
  </si>
  <si>
    <t xml:space="preserve">1 TURNO POR SEMANA </t>
  </si>
  <si>
    <t>INICIO:  SECTOR LA ORQUIDEA - CARRETERA VIA PAVIA POR EL COLEGIO FE Y ALEGRIA- C.C EL CUADROS- CIRCUNVALACION-  TUBRICA</t>
  </si>
  <si>
    <t>CABUDARE B la 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</si>
</sst>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6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2">
    <xf numFmtId="0" fontId="0" fillId="0" borderId="0" xfId="0"/>
    <xf numFmtId="0" fontId="0" fillId="3" borderId="0" xfId="0" applyFill="1"/>
    <xf numFmtId="0" fontId="5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2" fillId="3" borderId="0" xfId="0" applyFont="1" applyFill="1"/>
    <xf numFmtId="0" fontId="0" fillId="3" borderId="1" xfId="0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7" fillId="6" borderId="1" xfId="0" applyFont="1" applyFill="1" applyBorder="1" applyAlignment="1">
      <alignment horizontal="center"/>
    </xf>
    <xf numFmtId="0" fontId="0" fillId="3" borderId="6" xfId="0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center" vertical="center"/>
    </xf>
    <xf numFmtId="0" fontId="0" fillId="7" borderId="0" xfId="0" applyFill="1"/>
    <xf numFmtId="0" fontId="0" fillId="7" borderId="7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wrapText="1"/>
    </xf>
    <xf numFmtId="0" fontId="5" fillId="7" borderId="5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6" fillId="8" borderId="8" xfId="0" applyFont="1" applyFill="1" applyBorder="1" applyAlignment="1">
      <alignment vertical="center" wrapText="1"/>
    </xf>
    <xf numFmtId="0" fontId="0" fillId="7" borderId="6" xfId="0" applyFill="1" applyBorder="1" applyAlignment="1">
      <alignment horizontal="center"/>
    </xf>
    <xf numFmtId="0" fontId="0" fillId="7" borderId="6" xfId="0" applyFill="1" applyBorder="1" applyAlignment="1">
      <alignment horizontal="center" wrapText="1"/>
    </xf>
    <xf numFmtId="0" fontId="0" fillId="7" borderId="3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wrapText="1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7" borderId="1" xfId="0" applyFill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134B-B8A3-4267-B46C-DF6704A1B53D}">
  <sheetPr>
    <pageSetUpPr fitToPage="1"/>
  </sheetPr>
  <dimension ref="A1:G30"/>
  <sheetViews>
    <sheetView showGridLines="0" tabSelected="1" view="pageBreakPreview" topLeftCell="A12" zoomScale="70" zoomScaleNormal="70" zoomScaleSheetLayoutView="70" workbookViewId="0">
      <selection activeCell="E18" sqref="E18"/>
    </sheetView>
  </sheetViews>
  <sheetFormatPr baseColWidth="10" defaultRowHeight="15" x14ac:dyDescent="0.25"/>
  <cols>
    <col min="1" max="2" width="21.42578125" style="1" customWidth="1"/>
    <col min="3" max="3" width="12" style="1" customWidth="1"/>
    <col min="4" max="4" width="23" style="1" customWidth="1"/>
    <col min="5" max="5" width="122.140625" style="1" customWidth="1"/>
    <col min="6" max="6" width="15" style="1" customWidth="1"/>
    <col min="7" max="7" width="19.5703125" style="1" customWidth="1"/>
  </cols>
  <sheetData>
    <row r="1" spans="1:7" ht="18.75" x14ac:dyDescent="0.3">
      <c r="A1" s="39" t="s">
        <v>11</v>
      </c>
      <c r="B1" s="40"/>
      <c r="C1" s="40"/>
      <c r="D1" s="40"/>
      <c r="E1" s="40"/>
      <c r="F1" s="40"/>
      <c r="G1" s="40"/>
    </row>
    <row r="2" spans="1:7" x14ac:dyDescent="0.25">
      <c r="A2" s="2" t="s">
        <v>12</v>
      </c>
      <c r="B2" s="2" t="s">
        <v>25</v>
      </c>
      <c r="C2" s="2" t="s">
        <v>13</v>
      </c>
      <c r="D2" s="3" t="s">
        <v>0</v>
      </c>
      <c r="E2" s="3" t="s">
        <v>23</v>
      </c>
      <c r="F2" s="3" t="s">
        <v>18</v>
      </c>
      <c r="G2" s="3" t="s">
        <v>1</v>
      </c>
    </row>
    <row r="3" spans="1:7" s="23" customFormat="1" ht="57" customHeight="1" x14ac:dyDescent="0.25">
      <c r="A3" s="37" t="s">
        <v>14</v>
      </c>
      <c r="B3" s="19" t="s">
        <v>26</v>
      </c>
      <c r="C3" s="19">
        <v>10</v>
      </c>
      <c r="D3" s="20" t="s">
        <v>2</v>
      </c>
      <c r="E3" s="21" t="s">
        <v>35</v>
      </c>
      <c r="F3" s="22">
        <v>10</v>
      </c>
      <c r="G3" s="22" t="s">
        <v>3</v>
      </c>
    </row>
    <row r="4" spans="1:7" s="23" customFormat="1" ht="30" x14ac:dyDescent="0.25">
      <c r="A4" s="37"/>
      <c r="B4" s="19" t="s">
        <v>26</v>
      </c>
      <c r="C4" s="19">
        <v>13</v>
      </c>
      <c r="D4" s="20" t="s">
        <v>4</v>
      </c>
      <c r="E4" s="21" t="s">
        <v>36</v>
      </c>
      <c r="F4" s="22">
        <v>13</v>
      </c>
      <c r="G4" s="22" t="s">
        <v>3</v>
      </c>
    </row>
    <row r="5" spans="1:7" s="23" customFormat="1" ht="42.75" customHeight="1" x14ac:dyDescent="0.25">
      <c r="A5" s="37"/>
      <c r="B5" s="19" t="s">
        <v>27</v>
      </c>
      <c r="C5" s="19">
        <v>6</v>
      </c>
      <c r="D5" s="20" t="s">
        <v>55</v>
      </c>
      <c r="E5" s="21" t="s">
        <v>37</v>
      </c>
      <c r="F5" s="22">
        <v>6</v>
      </c>
      <c r="G5" s="22" t="s">
        <v>3</v>
      </c>
    </row>
    <row r="6" spans="1:7" s="23" customFormat="1" ht="30" x14ac:dyDescent="0.25">
      <c r="A6" s="37"/>
      <c r="B6" s="19" t="s">
        <v>28</v>
      </c>
      <c r="C6" s="19">
        <v>25</v>
      </c>
      <c r="D6" s="20" t="s">
        <v>5</v>
      </c>
      <c r="E6" s="21" t="s">
        <v>38</v>
      </c>
      <c r="F6" s="22">
        <v>16</v>
      </c>
      <c r="G6" s="22" t="s">
        <v>3</v>
      </c>
    </row>
    <row r="7" spans="1:7" s="23" customFormat="1" ht="50.25" customHeight="1" x14ac:dyDescent="0.25">
      <c r="A7" s="37"/>
      <c r="B7" s="19" t="s">
        <v>27</v>
      </c>
      <c r="C7" s="19">
        <v>6</v>
      </c>
      <c r="D7" s="20" t="s">
        <v>6</v>
      </c>
      <c r="E7" s="21" t="s">
        <v>39</v>
      </c>
      <c r="F7" s="22">
        <v>6</v>
      </c>
      <c r="G7" s="22" t="s">
        <v>3</v>
      </c>
    </row>
    <row r="8" spans="1:7" s="23" customFormat="1" ht="30" x14ac:dyDescent="0.25">
      <c r="A8" s="37"/>
      <c r="B8" s="19" t="s">
        <v>27</v>
      </c>
      <c r="C8" s="19">
        <v>6</v>
      </c>
      <c r="D8" s="20" t="s">
        <v>15</v>
      </c>
      <c r="E8" s="21" t="s">
        <v>40</v>
      </c>
      <c r="F8" s="22">
        <v>6</v>
      </c>
      <c r="G8" s="22" t="s">
        <v>3</v>
      </c>
    </row>
    <row r="9" spans="1:7" s="23" customFormat="1" ht="60" customHeight="1" x14ac:dyDescent="0.25">
      <c r="A9" s="37"/>
      <c r="B9" s="19" t="s">
        <v>28</v>
      </c>
      <c r="C9" s="19">
        <v>25</v>
      </c>
      <c r="D9" s="20" t="s">
        <v>7</v>
      </c>
      <c r="E9" s="21" t="s">
        <v>34</v>
      </c>
      <c r="F9" s="24">
        <v>21</v>
      </c>
      <c r="G9" s="22" t="s">
        <v>3</v>
      </c>
    </row>
    <row r="10" spans="1:7" s="23" customFormat="1" ht="30" x14ac:dyDescent="0.25">
      <c r="A10" s="37"/>
      <c r="B10" s="19" t="s">
        <v>29</v>
      </c>
      <c r="C10" s="19">
        <v>32</v>
      </c>
      <c r="D10" s="20" t="s">
        <v>8</v>
      </c>
      <c r="E10" s="21" t="s">
        <v>41</v>
      </c>
      <c r="F10" s="25">
        <v>27</v>
      </c>
      <c r="G10" s="22" t="s">
        <v>3</v>
      </c>
    </row>
    <row r="11" spans="1:7" s="23" customFormat="1" ht="40.5" customHeight="1" x14ac:dyDescent="0.25">
      <c r="A11" s="37"/>
      <c r="B11" s="19" t="s">
        <v>27</v>
      </c>
      <c r="C11" s="19">
        <v>6</v>
      </c>
      <c r="D11" s="20" t="s">
        <v>9</v>
      </c>
      <c r="E11" s="21" t="s">
        <v>42</v>
      </c>
      <c r="F11" s="26">
        <v>6</v>
      </c>
      <c r="G11" s="22" t="s">
        <v>3</v>
      </c>
    </row>
    <row r="12" spans="1:7" s="23" customFormat="1" ht="39.75" customHeight="1" x14ac:dyDescent="0.25">
      <c r="A12" s="37"/>
      <c r="B12" s="19" t="s">
        <v>29</v>
      </c>
      <c r="C12" s="19">
        <v>32</v>
      </c>
      <c r="D12" s="20" t="s">
        <v>10</v>
      </c>
      <c r="E12" s="27" t="s">
        <v>51</v>
      </c>
      <c r="F12" s="25">
        <v>26</v>
      </c>
      <c r="G12" s="22" t="s">
        <v>3</v>
      </c>
    </row>
    <row r="13" spans="1:7" s="23" customFormat="1" ht="30" x14ac:dyDescent="0.25">
      <c r="A13" s="37"/>
      <c r="B13" s="19" t="s">
        <v>28</v>
      </c>
      <c r="C13" s="19">
        <v>25</v>
      </c>
      <c r="D13" s="20" t="s">
        <v>16</v>
      </c>
      <c r="E13" s="21" t="s">
        <v>43</v>
      </c>
      <c r="F13" s="25">
        <v>19</v>
      </c>
      <c r="G13" s="22" t="s">
        <v>3</v>
      </c>
    </row>
    <row r="14" spans="1:7" s="23" customFormat="1" ht="37.5" customHeight="1" x14ac:dyDescent="0.25">
      <c r="A14" s="37"/>
      <c r="B14" s="19" t="s">
        <v>28</v>
      </c>
      <c r="C14" s="19">
        <v>30</v>
      </c>
      <c r="D14" s="20" t="s">
        <v>17</v>
      </c>
      <c r="E14" s="21" t="s">
        <v>44</v>
      </c>
      <c r="F14" s="22">
        <v>29</v>
      </c>
      <c r="G14" s="22" t="s">
        <v>3</v>
      </c>
    </row>
    <row r="15" spans="1:7" x14ac:dyDescent="0.25">
      <c r="D15" s="5"/>
      <c r="E15" s="6"/>
      <c r="F15" s="6"/>
      <c r="G15" s="6"/>
    </row>
    <row r="16" spans="1:7" ht="15" customHeight="1" x14ac:dyDescent="0.25">
      <c r="A16" s="12" t="s">
        <v>22</v>
      </c>
      <c r="B16" s="12"/>
      <c r="C16" s="12"/>
      <c r="D16" s="12"/>
      <c r="E16" s="6"/>
      <c r="F16" s="6"/>
      <c r="G16" s="6"/>
    </row>
    <row r="17" spans="1:7" x14ac:dyDescent="0.25">
      <c r="E17" s="6"/>
      <c r="F17" s="6"/>
      <c r="G17" s="6"/>
    </row>
    <row r="18" spans="1:7" x14ac:dyDescent="0.25">
      <c r="A18" s="7" t="s">
        <v>12</v>
      </c>
      <c r="B18" s="7" t="s">
        <v>25</v>
      </c>
      <c r="C18" s="7" t="s">
        <v>13</v>
      </c>
      <c r="D18" s="8" t="s">
        <v>0</v>
      </c>
      <c r="E18" s="8" t="s">
        <v>23</v>
      </c>
      <c r="F18" s="8" t="s">
        <v>18</v>
      </c>
      <c r="G18" s="8" t="s">
        <v>1</v>
      </c>
    </row>
    <row r="19" spans="1:7" s="23" customFormat="1" ht="30" x14ac:dyDescent="0.25">
      <c r="A19" s="37" t="s">
        <v>19</v>
      </c>
      <c r="B19" s="28" t="s">
        <v>30</v>
      </c>
      <c r="C19" s="28">
        <v>4</v>
      </c>
      <c r="D19" s="29" t="s">
        <v>20</v>
      </c>
      <c r="E19" s="30" t="s">
        <v>45</v>
      </c>
      <c r="F19" s="31">
        <v>4</v>
      </c>
      <c r="G19" s="32" t="s">
        <v>53</v>
      </c>
    </row>
    <row r="20" spans="1:7" s="23" customFormat="1" ht="45" x14ac:dyDescent="0.25">
      <c r="A20" s="37"/>
      <c r="B20" s="19" t="s">
        <v>27</v>
      </c>
      <c r="C20" s="35">
        <v>6</v>
      </c>
      <c r="D20" s="33" t="s">
        <v>21</v>
      </c>
      <c r="E20" s="41" t="s">
        <v>46</v>
      </c>
      <c r="F20" s="36">
        <v>18</v>
      </c>
      <c r="G20" s="31" t="s">
        <v>52</v>
      </c>
    </row>
    <row r="21" spans="1:7" s="23" customFormat="1" ht="30.75" customHeight="1" x14ac:dyDescent="0.25">
      <c r="A21" s="37"/>
      <c r="B21" s="28" t="s">
        <v>30</v>
      </c>
      <c r="C21" s="28">
        <v>4</v>
      </c>
      <c r="D21" s="33" t="s">
        <v>7</v>
      </c>
      <c r="E21" s="34" t="s">
        <v>47</v>
      </c>
      <c r="F21" s="31">
        <v>4</v>
      </c>
      <c r="G21" s="32" t="s">
        <v>53</v>
      </c>
    </row>
    <row r="22" spans="1:7" ht="30" x14ac:dyDescent="0.25">
      <c r="A22" s="37"/>
      <c r="B22" s="4" t="s">
        <v>27</v>
      </c>
      <c r="C22" s="14">
        <v>6</v>
      </c>
      <c r="D22" s="9" t="s">
        <v>8</v>
      </c>
      <c r="E22" s="13" t="s">
        <v>48</v>
      </c>
      <c r="F22" s="10">
        <v>10</v>
      </c>
      <c r="G22" s="18" t="s">
        <v>53</v>
      </c>
    </row>
    <row r="23" spans="1:7" s="23" customFormat="1" ht="35.25" customHeight="1" x14ac:dyDescent="0.25">
      <c r="A23" s="37"/>
      <c r="B23" s="28" t="s">
        <v>30</v>
      </c>
      <c r="C23" s="28">
        <v>4</v>
      </c>
      <c r="D23" s="33" t="s">
        <v>9</v>
      </c>
      <c r="E23" s="34" t="s">
        <v>54</v>
      </c>
      <c r="F23" s="31">
        <v>4</v>
      </c>
      <c r="G23" s="32" t="s">
        <v>53</v>
      </c>
    </row>
    <row r="24" spans="1:7" s="23" customFormat="1" ht="30" x14ac:dyDescent="0.25">
      <c r="A24" s="37"/>
      <c r="B24" s="35" t="s">
        <v>31</v>
      </c>
      <c r="C24" s="35">
        <v>16</v>
      </c>
      <c r="D24" s="33" t="s">
        <v>10</v>
      </c>
      <c r="E24" s="34" t="s">
        <v>49</v>
      </c>
      <c r="F24" s="36">
        <v>37</v>
      </c>
      <c r="G24" s="31" t="s">
        <v>52</v>
      </c>
    </row>
    <row r="25" spans="1:7" s="23" customFormat="1" ht="30" x14ac:dyDescent="0.25">
      <c r="A25" s="37"/>
      <c r="B25" s="28" t="s">
        <v>30</v>
      </c>
      <c r="C25" s="28">
        <v>6</v>
      </c>
      <c r="D25" s="20" t="s">
        <v>16</v>
      </c>
      <c r="E25" s="27" t="s">
        <v>50</v>
      </c>
      <c r="F25" s="25">
        <v>20</v>
      </c>
      <c r="G25" s="31" t="s">
        <v>52</v>
      </c>
    </row>
    <row r="26" spans="1:7" x14ac:dyDescent="0.25">
      <c r="A26"/>
      <c r="B26"/>
      <c r="C26"/>
      <c r="D26"/>
      <c r="E26" s="11"/>
      <c r="F26" s="6"/>
      <c r="G26" s="6"/>
    </row>
    <row r="27" spans="1:7" ht="15" customHeight="1" x14ac:dyDescent="0.25">
      <c r="A27" s="38" t="s">
        <v>24</v>
      </c>
      <c r="B27" s="38"/>
      <c r="C27" s="38"/>
      <c r="D27" s="38"/>
      <c r="E27" s="38"/>
      <c r="F27" s="38"/>
      <c r="G27"/>
    </row>
    <row r="28" spans="1:7" x14ac:dyDescent="0.25">
      <c r="A28" s="1" t="s">
        <v>32</v>
      </c>
    </row>
    <row r="30" spans="1:7" ht="21" x14ac:dyDescent="0.35">
      <c r="E30" s="16" t="s">
        <v>33</v>
      </c>
      <c r="F30" s="17">
        <f>F3+F4+F5+F6+F7+F8+F9+F10+F11+F12+F13+F14+F19+F20+F21+F22+F23+F24+F25</f>
        <v>282</v>
      </c>
      <c r="G30" s="15"/>
    </row>
  </sheetData>
  <protectedRanges>
    <protectedRange algorithmName="SHA-512" hashValue="PFhQAtpVfIaKARuCS+6ubPtGySUlKj+VsWQudT7t7DlG+patJn1qJEwclgrCsWUblbxyQORLI4IqR1aq04EHbg==" saltValue="Ao0zGwQ8qVspyzazCx6Tlw==" spinCount="100000" sqref="D8:D13" name="Rango1_1"/>
  </protectedRanges>
  <mergeCells count="4">
    <mergeCell ref="A3:A14"/>
    <mergeCell ref="A19:A25"/>
    <mergeCell ref="A27:F27"/>
    <mergeCell ref="A1:G1"/>
  </mergeCells>
  <dataValidations count="1">
    <dataValidation type="list" allowBlank="1" showInputMessage="1" showErrorMessage="1" sqref="F11 F8" xr:uid="{61DA5100-BA6B-4CD2-A10C-112438EB362E}">
      <formula1>#REF!</formula1>
    </dataValidation>
  </dataValidations>
  <pageMargins left="0.25" right="0.25" top="0.75" bottom="0.75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Amparo Galindez</dc:creator>
  <cp:keywords/>
  <dc:description/>
  <cp:lastModifiedBy>Soporte TIC</cp:lastModifiedBy>
  <cp:revision/>
  <cp:lastPrinted>2026-03-16T20:42:52Z</cp:lastPrinted>
  <dcterms:created xsi:type="dcterms:W3CDTF">2024-02-02T20:55:06Z</dcterms:created>
  <dcterms:modified xsi:type="dcterms:W3CDTF">2026-03-25T19:52:46Z</dcterms:modified>
  <cp:category/>
  <cp:contentStatus/>
</cp:coreProperties>
</file>